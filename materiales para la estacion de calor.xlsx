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osGit\EstacionCalorPro\"/>
    </mc:Choice>
  </mc:AlternateContent>
  <xr:revisionPtr revIDLastSave="0" documentId="13_ncr:1_{72FAE8AA-172D-4D26-B6B7-4679F57FE6C7}" xr6:coauthVersionLast="47" xr6:coauthVersionMax="47" xr10:uidLastSave="{00000000-0000-0000-0000-000000000000}"/>
  <bookViews>
    <workbookView xWindow="-28920" yWindow="1410" windowWidth="29040" windowHeight="15840" xr2:uid="{94E83CDF-9306-499A-889A-08D7BD0DF52C}"/>
  </bookViews>
  <sheets>
    <sheet name="Sheet1" sheetId="1" r:id="rId1"/>
  </sheets>
  <definedNames>
    <definedName name="_xlnm._FilterDatabase" localSheetId="0" hidden="1">Sheet1!$A$1:$M$54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2" i="1"/>
  <c r="G1" i="1" l="1"/>
  <c r="K1" i="1" s="1"/>
  <c r="M1" i="1" s="1"/>
</calcChain>
</file>

<file path=xl/sharedStrings.xml><?xml version="1.0" encoding="utf-8"?>
<sst xmlns="http://schemas.openxmlformats.org/spreadsheetml/2006/main" count="62" uniqueCount="62">
  <si>
    <t>nombre</t>
  </si>
  <si>
    <t>cantidad</t>
  </si>
  <si>
    <t>comentarios</t>
  </si>
  <si>
    <t>pcb pantalla y botones</t>
  </si>
  <si>
    <t>costo</t>
  </si>
  <si>
    <t>pcb principal</t>
  </si>
  <si>
    <t>pcb fuente</t>
  </si>
  <si>
    <t>total</t>
  </si>
  <si>
    <t>costounitario</t>
  </si>
  <si>
    <t>botones</t>
  </si>
  <si>
    <t>resistencia 1K</t>
  </si>
  <si>
    <t>pantalla tft</t>
  </si>
  <si>
    <t>https://articulo.mercadolibre.com.mx/MLM-1577647697-pantalla-lcd-tft-18-ips-spi-hd-65k-st7735r-128160-_JM#is_advertising=true&amp;position=6&amp;search_layout=stack&amp;type=pad&amp;tracking_id=3d5a287c-cc93-4f92-bb59-39f4a05af710&amp;is_advertising=true&amp;ad_domain=VQCATCORE_LST&amp;ad_position=6&amp;ad_click_id=YWI5M2IzMjgtNWEyYi00YmYyLTljODctZDExYWE0Y2M0YzNh</t>
  </si>
  <si>
    <t>buzzer activo</t>
  </si>
  <si>
    <t>cable plano</t>
  </si>
  <si>
    <t>https://articulo.mercadolibre.com.mx/MLM-841694592-cable-plano-10-terminales-_JM#polycard_client=search-nordic&amp;position=25&amp;search_layout=grid&amp;type=item&amp;tracking_id=428563f6-5803-4e6e-b3b9-212e945b2659</t>
  </si>
  <si>
    <t>https://articulo.mercadolibre.com.mx/MLM-790354187-10-piezas-buzzer-activo-5v-zumbador-5-v-arduino-pic-_JM#polycard_client=search-nordic&amp;position=9&amp;search_layout=stack&amp;type=item&amp;tracking_id=d84af84a-51b7-4d2e-b7b0-134d08dc6642</t>
  </si>
  <si>
    <t>stm32f411</t>
  </si>
  <si>
    <t>memoria 24C08</t>
  </si>
  <si>
    <t>https://articulo.mercadolibre.com.mx/MLM-2291052976-5pzas-memoria-eeprom-8kbtis-at24c08b-24c08-24c08n-_JM#polycard_client=search-nordic&amp;position=4&amp;search_layout=stack&amp;type=item&amp;tracking_id=f55c01b5-f4d1-4fa2-8a8b-66828dfb4737</t>
  </si>
  <si>
    <t>resistencia 130K</t>
  </si>
  <si>
    <t>preset 10K</t>
  </si>
  <si>
    <t>conector molex 4 pines para alimentacion</t>
  </si>
  <si>
    <t>conector molex para el calefactor</t>
  </si>
  <si>
    <t>conector moles 3 pines para puerto serial</t>
  </si>
  <si>
    <t>encoder rotativo</t>
  </si>
  <si>
    <t>74ls14</t>
  </si>
  <si>
    <t>conector moles 2 pines para ventilador</t>
  </si>
  <si>
    <t>diodo 1N4004</t>
  </si>
  <si>
    <t>IRFZ44 mosfet</t>
  </si>
  <si>
    <t>capacitor 100uf</t>
  </si>
  <si>
    <t>conector molex para AC</t>
  </si>
  <si>
    <t>Capacitor Poliester 334 0.33uf 330nf 450v</t>
  </si>
  <si>
    <t>capacitor 0.1uf</t>
  </si>
  <si>
    <t>Regulador De Voltaje 3.3v Lf33cv 500ma</t>
  </si>
  <si>
    <t>Capacitor Electrolitico 2.2uf</t>
  </si>
  <si>
    <t>Capacitor Electrolitico 2200uf A 50v</t>
  </si>
  <si>
    <t>resistencia 220</t>
  </si>
  <si>
    <t>moc3021</t>
  </si>
  <si>
    <t>c106</t>
  </si>
  <si>
    <t>caja metalica</t>
  </si>
  <si>
    <t>caja de carton</t>
  </si>
  <si>
    <t>pistola de aire caliente</t>
  </si>
  <si>
    <t>%Ganancia</t>
  </si>
  <si>
    <t>Ganancia</t>
  </si>
  <si>
    <t>Valor Venta</t>
  </si>
  <si>
    <t>perillas</t>
  </si>
  <si>
    <t>conector para lapistola</t>
  </si>
  <si>
    <t xml:space="preserve">conector para cableAC </t>
  </si>
  <si>
    <t>Soporte de estación de soldadura de pistola de aire caliente</t>
  </si>
  <si>
    <t>porta fusible</t>
  </si>
  <si>
    <t>fusible</t>
  </si>
  <si>
    <t>switch</t>
  </si>
  <si>
    <t>conector para serial exterior redondo</t>
  </si>
  <si>
    <t>conector exterior 4 pines redondo para stlink</t>
  </si>
  <si>
    <t>gomas para las patas</t>
  </si>
  <si>
    <t>potenciometro 5K</t>
  </si>
  <si>
    <t>lm358p</t>
  </si>
  <si>
    <t>Regulador 7805</t>
  </si>
  <si>
    <t>tuercas separadoras (espaciadores ambos tipos)</t>
  </si>
  <si>
    <t>transformador 24V 1A</t>
  </si>
  <si>
    <t>cable de alimentacion para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</si>
</sst>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4F42-C390-4979-BDA0-BF8857770742}">
  <dimension ref="A1:M54"/>
  <sheetViews>
    <sheetView tabSelected="1" workbookViewId="0">
      <pane ySplit="1" topLeftCell="A2" activePane="bottomLeft" state="frozen"/>
      <selection pane="bottomLeft" activeCell="M1" sqref="M1"/>
    </sheetView>
  </sheetViews>
  <sheetFormatPr defaultRowHeight="15" x14ac:dyDescent="0.25"/>
  <cols>
    <col min="1" max="1" width="55" bestFit="1" customWidth="1"/>
    <col min="2" max="2" width="11.140625" bestFit="1" customWidth="1"/>
    <col min="3" max="3" width="15.140625" bestFit="1" customWidth="1"/>
    <col min="4" max="4" width="8.140625" bestFit="1" customWidth="1"/>
    <col min="5" max="5" width="17.85546875" customWidth="1"/>
    <col min="6" max="6" width="7.28515625" bestFit="1" customWidth="1"/>
    <col min="7" max="7" width="10.5703125" bestFit="1" customWidth="1"/>
    <col min="8" max="8" width="13.42578125" bestFit="1" customWidth="1"/>
    <col min="9" max="9" width="12" customWidth="1"/>
    <col min="10" max="10" width="11.85546875" bestFit="1" customWidth="1"/>
    <col min="11" max="11" width="15.42578125" customWidth="1"/>
    <col min="12" max="12" width="13.42578125" bestFit="1" customWidth="1"/>
    <col min="13" max="13" width="17.7109375" customWidth="1"/>
  </cols>
  <sheetData>
    <row r="1" spans="1:13" x14ac:dyDescent="0.25">
      <c r="A1" t="s">
        <v>0</v>
      </c>
      <c r="B1" t="s">
        <v>1</v>
      </c>
      <c r="C1" t="s">
        <v>8</v>
      </c>
      <c r="D1" t="s">
        <v>4</v>
      </c>
      <c r="E1" t="s">
        <v>2</v>
      </c>
      <c r="F1" t="s">
        <v>7</v>
      </c>
      <c r="G1" s="1">
        <f>SUM(D:D)</f>
        <v>2146</v>
      </c>
      <c r="H1" t="s">
        <v>43</v>
      </c>
      <c r="I1">
        <v>50</v>
      </c>
      <c r="J1" t="s">
        <v>44</v>
      </c>
      <c r="K1" s="1">
        <f>G1*I1/100</f>
        <v>1073</v>
      </c>
      <c r="L1" t="s">
        <v>45</v>
      </c>
      <c r="M1" s="1">
        <f>G1+K1</f>
        <v>3219</v>
      </c>
    </row>
    <row r="2" spans="1:13" x14ac:dyDescent="0.25">
      <c r="A2" t="s">
        <v>3</v>
      </c>
      <c r="B2">
        <v>1</v>
      </c>
      <c r="C2">
        <v>50</v>
      </c>
      <c r="D2">
        <f>C2*B2</f>
        <v>50</v>
      </c>
    </row>
    <row r="3" spans="1:13" x14ac:dyDescent="0.25">
      <c r="A3" t="s">
        <v>5</v>
      </c>
      <c r="B3">
        <v>1</v>
      </c>
      <c r="C3">
        <v>50</v>
      </c>
      <c r="D3">
        <f t="shared" ref="D3:D54" si="0">C3*B3</f>
        <v>50</v>
      </c>
    </row>
    <row r="4" spans="1:13" x14ac:dyDescent="0.25">
      <c r="A4" t="s">
        <v>6</v>
      </c>
      <c r="B4">
        <v>1</v>
      </c>
      <c r="C4">
        <v>50</v>
      </c>
      <c r="D4">
        <f t="shared" si="0"/>
        <v>50</v>
      </c>
    </row>
    <row r="5" spans="1:13" x14ac:dyDescent="0.25">
      <c r="A5" s="2" t="s">
        <v>9</v>
      </c>
      <c r="B5" s="2">
        <v>4</v>
      </c>
      <c r="C5" s="2">
        <v>6</v>
      </c>
      <c r="D5" s="2">
        <f t="shared" si="0"/>
        <v>24</v>
      </c>
    </row>
    <row r="6" spans="1:13" x14ac:dyDescent="0.25">
      <c r="A6" t="s">
        <v>10</v>
      </c>
      <c r="B6">
        <v>10</v>
      </c>
      <c r="C6">
        <v>1</v>
      </c>
      <c r="D6">
        <f t="shared" si="0"/>
        <v>10</v>
      </c>
    </row>
    <row r="7" spans="1:13" x14ac:dyDescent="0.25">
      <c r="A7" t="s">
        <v>11</v>
      </c>
      <c r="B7">
        <v>1</v>
      </c>
      <c r="C7">
        <v>230</v>
      </c>
      <c r="D7">
        <f t="shared" si="0"/>
        <v>230</v>
      </c>
      <c r="E7" t="s">
        <v>12</v>
      </c>
    </row>
    <row r="8" spans="1:13" x14ac:dyDescent="0.25">
      <c r="A8" s="2" t="s">
        <v>13</v>
      </c>
      <c r="B8" s="2">
        <v>1</v>
      </c>
      <c r="C8" s="2">
        <v>11</v>
      </c>
      <c r="D8" s="2">
        <f t="shared" si="0"/>
        <v>11</v>
      </c>
      <c r="E8" t="s">
        <v>16</v>
      </c>
    </row>
    <row r="9" spans="1:13" x14ac:dyDescent="0.25">
      <c r="A9" t="s">
        <v>14</v>
      </c>
      <c r="B9">
        <v>3</v>
      </c>
      <c r="C9">
        <v>10</v>
      </c>
      <c r="D9">
        <f t="shared" si="0"/>
        <v>30</v>
      </c>
      <c r="E9" t="s">
        <v>15</v>
      </c>
    </row>
    <row r="10" spans="1:13" x14ac:dyDescent="0.25">
      <c r="A10" t="s">
        <v>17</v>
      </c>
      <c r="B10">
        <v>1</v>
      </c>
      <c r="C10">
        <v>200</v>
      </c>
      <c r="D10">
        <f t="shared" si="0"/>
        <v>200</v>
      </c>
    </row>
    <row r="11" spans="1:13" x14ac:dyDescent="0.25">
      <c r="A11" t="s">
        <v>18</v>
      </c>
      <c r="B11">
        <v>1</v>
      </c>
      <c r="C11">
        <v>40</v>
      </c>
      <c r="D11">
        <f t="shared" si="0"/>
        <v>40</v>
      </c>
      <c r="E11" t="s">
        <v>19</v>
      </c>
    </row>
    <row r="12" spans="1:13" x14ac:dyDescent="0.25">
      <c r="A12" t="s">
        <v>20</v>
      </c>
      <c r="B12">
        <v>1</v>
      </c>
      <c r="C12">
        <v>1</v>
      </c>
      <c r="D12">
        <f t="shared" si="0"/>
        <v>1</v>
      </c>
    </row>
    <row r="13" spans="1:13" x14ac:dyDescent="0.25">
      <c r="A13" t="s">
        <v>21</v>
      </c>
      <c r="B13">
        <v>1</v>
      </c>
      <c r="C13">
        <v>10</v>
      </c>
      <c r="D13">
        <f t="shared" si="0"/>
        <v>10</v>
      </c>
    </row>
    <row r="14" spans="1:13" x14ac:dyDescent="0.25">
      <c r="A14" t="s">
        <v>22</v>
      </c>
      <c r="B14">
        <v>0</v>
      </c>
      <c r="C14">
        <v>4</v>
      </c>
      <c r="D14">
        <f t="shared" si="0"/>
        <v>0</v>
      </c>
    </row>
    <row r="15" spans="1:13" x14ac:dyDescent="0.25">
      <c r="A15" s="2" t="s">
        <v>23</v>
      </c>
      <c r="B15" s="2">
        <v>1</v>
      </c>
      <c r="C15" s="2">
        <v>10</v>
      </c>
      <c r="D15" s="2">
        <f t="shared" si="0"/>
        <v>10</v>
      </c>
    </row>
    <row r="16" spans="1:13" x14ac:dyDescent="0.25">
      <c r="A16" s="2" t="s">
        <v>24</v>
      </c>
      <c r="B16" s="2">
        <v>1</v>
      </c>
      <c r="C16" s="2">
        <v>10</v>
      </c>
      <c r="D16" s="2">
        <f t="shared" si="0"/>
        <v>10</v>
      </c>
    </row>
    <row r="17" spans="1:4" x14ac:dyDescent="0.25">
      <c r="A17" s="2" t="s">
        <v>25</v>
      </c>
      <c r="B17" s="2">
        <v>1</v>
      </c>
      <c r="C17" s="2">
        <v>31</v>
      </c>
      <c r="D17" s="2">
        <f t="shared" si="0"/>
        <v>31</v>
      </c>
    </row>
    <row r="18" spans="1:4" x14ac:dyDescent="0.25">
      <c r="A18" t="s">
        <v>26</v>
      </c>
      <c r="B18">
        <v>1</v>
      </c>
      <c r="C18">
        <v>40</v>
      </c>
      <c r="D18">
        <f t="shared" si="0"/>
        <v>40</v>
      </c>
    </row>
    <row r="19" spans="1:4" x14ac:dyDescent="0.25">
      <c r="A19" t="s">
        <v>27</v>
      </c>
      <c r="B19">
        <v>1</v>
      </c>
      <c r="C19">
        <v>4</v>
      </c>
      <c r="D19">
        <f t="shared" si="0"/>
        <v>4</v>
      </c>
    </row>
    <row r="20" spans="1:4" x14ac:dyDescent="0.25">
      <c r="A20" t="s">
        <v>28</v>
      </c>
      <c r="B20">
        <v>5</v>
      </c>
      <c r="C20">
        <v>5</v>
      </c>
      <c r="D20">
        <f t="shared" si="0"/>
        <v>25</v>
      </c>
    </row>
    <row r="21" spans="1:4" x14ac:dyDescent="0.25">
      <c r="A21" t="s">
        <v>29</v>
      </c>
      <c r="B21">
        <v>1</v>
      </c>
      <c r="C21">
        <v>40</v>
      </c>
      <c r="D21">
        <f t="shared" si="0"/>
        <v>40</v>
      </c>
    </row>
    <row r="22" spans="1:4" x14ac:dyDescent="0.25">
      <c r="A22" t="s">
        <v>30</v>
      </c>
      <c r="B22">
        <v>1</v>
      </c>
      <c r="C22">
        <v>20</v>
      </c>
      <c r="D22">
        <f t="shared" si="0"/>
        <v>20</v>
      </c>
    </row>
    <row r="23" spans="1:4" x14ac:dyDescent="0.25">
      <c r="A23" t="s">
        <v>31</v>
      </c>
      <c r="B23">
        <v>4</v>
      </c>
      <c r="C23">
        <v>10</v>
      </c>
      <c r="D23">
        <f t="shared" si="0"/>
        <v>40</v>
      </c>
    </row>
    <row r="24" spans="1:4" x14ac:dyDescent="0.25">
      <c r="A24" t="s">
        <v>58</v>
      </c>
      <c r="B24">
        <v>1</v>
      </c>
      <c r="C24">
        <v>20</v>
      </c>
      <c r="D24">
        <f t="shared" si="0"/>
        <v>20</v>
      </c>
    </row>
    <row r="25" spans="1:4" x14ac:dyDescent="0.25">
      <c r="A25" t="s">
        <v>32</v>
      </c>
      <c r="B25">
        <v>1</v>
      </c>
      <c r="C25">
        <v>20</v>
      </c>
      <c r="D25">
        <f t="shared" si="0"/>
        <v>20</v>
      </c>
    </row>
    <row r="26" spans="1:4" x14ac:dyDescent="0.25">
      <c r="A26" t="s">
        <v>33</v>
      </c>
      <c r="B26">
        <v>2</v>
      </c>
      <c r="C26">
        <v>1</v>
      </c>
      <c r="D26">
        <f t="shared" si="0"/>
        <v>2</v>
      </c>
    </row>
    <row r="27" spans="1:4" x14ac:dyDescent="0.25">
      <c r="A27" t="s">
        <v>34</v>
      </c>
      <c r="B27">
        <v>1</v>
      </c>
      <c r="C27">
        <v>30</v>
      </c>
      <c r="D27">
        <f t="shared" si="0"/>
        <v>30</v>
      </c>
    </row>
    <row r="28" spans="1:4" x14ac:dyDescent="0.25">
      <c r="A28" t="s">
        <v>35</v>
      </c>
      <c r="B28">
        <v>1</v>
      </c>
      <c r="C28">
        <v>5</v>
      </c>
      <c r="D28">
        <f t="shared" si="0"/>
        <v>5</v>
      </c>
    </row>
    <row r="29" spans="1:4" x14ac:dyDescent="0.25">
      <c r="A29" t="s">
        <v>36</v>
      </c>
      <c r="B29">
        <v>1</v>
      </c>
      <c r="C29">
        <v>35</v>
      </c>
      <c r="D29">
        <f t="shared" si="0"/>
        <v>35</v>
      </c>
    </row>
    <row r="30" spans="1:4" x14ac:dyDescent="0.25">
      <c r="A30" t="s">
        <v>37</v>
      </c>
      <c r="B30">
        <v>2</v>
      </c>
      <c r="C30">
        <v>1</v>
      </c>
      <c r="D30">
        <f t="shared" si="0"/>
        <v>2</v>
      </c>
    </row>
    <row r="31" spans="1:4" x14ac:dyDescent="0.25">
      <c r="A31" t="s">
        <v>38</v>
      </c>
      <c r="B31">
        <v>1</v>
      </c>
      <c r="C31">
        <v>20</v>
      </c>
      <c r="D31">
        <f t="shared" si="0"/>
        <v>20</v>
      </c>
    </row>
    <row r="32" spans="1:4" x14ac:dyDescent="0.25">
      <c r="A32" t="s">
        <v>39</v>
      </c>
      <c r="B32">
        <v>1</v>
      </c>
      <c r="C32">
        <v>21</v>
      </c>
      <c r="D32">
        <f t="shared" si="0"/>
        <v>21</v>
      </c>
    </row>
    <row r="33" spans="1:4" x14ac:dyDescent="0.25">
      <c r="A33" s="2" t="s">
        <v>59</v>
      </c>
      <c r="B33" s="2">
        <v>4</v>
      </c>
      <c r="C33" s="2">
        <v>10</v>
      </c>
      <c r="D33" s="2">
        <f t="shared" si="0"/>
        <v>40</v>
      </c>
    </row>
    <row r="34" spans="1:4" x14ac:dyDescent="0.25">
      <c r="A34" t="s">
        <v>40</v>
      </c>
      <c r="B34">
        <v>1</v>
      </c>
      <c r="C34">
        <v>200</v>
      </c>
      <c r="D34">
        <f t="shared" si="0"/>
        <v>200</v>
      </c>
    </row>
    <row r="35" spans="1:4" x14ac:dyDescent="0.25">
      <c r="A35" t="s">
        <v>41</v>
      </c>
      <c r="B35">
        <v>1</v>
      </c>
      <c r="C35">
        <v>30</v>
      </c>
      <c r="D35">
        <f t="shared" si="0"/>
        <v>30</v>
      </c>
    </row>
    <row r="36" spans="1:4" x14ac:dyDescent="0.25">
      <c r="A36" t="s">
        <v>42</v>
      </c>
      <c r="B36">
        <v>1</v>
      </c>
      <c r="C36">
        <v>300</v>
      </c>
      <c r="D36">
        <f t="shared" si="0"/>
        <v>300</v>
      </c>
    </row>
    <row r="37" spans="1:4" x14ac:dyDescent="0.25">
      <c r="A37" s="2" t="s">
        <v>61</v>
      </c>
      <c r="B37" s="2">
        <v>1</v>
      </c>
      <c r="C37" s="2">
        <v>40</v>
      </c>
      <c r="D37" s="2">
        <f t="shared" si="0"/>
        <v>40</v>
      </c>
    </row>
    <row r="38" spans="1:4" x14ac:dyDescent="0.25">
      <c r="A38" t="s">
        <v>46</v>
      </c>
      <c r="B38">
        <v>2</v>
      </c>
      <c r="C38">
        <v>15</v>
      </c>
      <c r="D38">
        <f t="shared" si="0"/>
        <v>30</v>
      </c>
    </row>
    <row r="39" spans="1:4" x14ac:dyDescent="0.25">
      <c r="A39" s="2" t="s">
        <v>47</v>
      </c>
      <c r="B39" s="2">
        <v>1</v>
      </c>
      <c r="C39" s="2">
        <v>25</v>
      </c>
      <c r="D39" s="2">
        <f t="shared" si="0"/>
        <v>25</v>
      </c>
    </row>
    <row r="40" spans="1:4" x14ac:dyDescent="0.25">
      <c r="A40" t="s">
        <v>48</v>
      </c>
      <c r="B40">
        <v>1</v>
      </c>
      <c r="C40">
        <v>15</v>
      </c>
      <c r="D40">
        <f t="shared" si="0"/>
        <v>15</v>
      </c>
    </row>
    <row r="41" spans="1:4" x14ac:dyDescent="0.25">
      <c r="A41" t="s">
        <v>49</v>
      </c>
      <c r="B41">
        <v>1</v>
      </c>
      <c r="C41">
        <v>63</v>
      </c>
      <c r="D41">
        <f t="shared" si="0"/>
        <v>63</v>
      </c>
    </row>
    <row r="42" spans="1:4" x14ac:dyDescent="0.25">
      <c r="A42" t="s">
        <v>50</v>
      </c>
      <c r="B42">
        <v>1</v>
      </c>
      <c r="C42">
        <v>10</v>
      </c>
      <c r="D42">
        <f t="shared" si="0"/>
        <v>10</v>
      </c>
    </row>
    <row r="43" spans="1:4" x14ac:dyDescent="0.25">
      <c r="A43" t="s">
        <v>51</v>
      </c>
      <c r="B43">
        <v>1</v>
      </c>
      <c r="C43">
        <v>10</v>
      </c>
      <c r="D43">
        <f t="shared" si="0"/>
        <v>10</v>
      </c>
    </row>
    <row r="44" spans="1:4" x14ac:dyDescent="0.25">
      <c r="A44" s="2" t="s">
        <v>52</v>
      </c>
      <c r="B44" s="2">
        <v>1</v>
      </c>
      <c r="C44" s="2">
        <v>10</v>
      </c>
      <c r="D44" s="2">
        <f t="shared" si="0"/>
        <v>10</v>
      </c>
    </row>
    <row r="45" spans="1:4" x14ac:dyDescent="0.25">
      <c r="A45" t="s">
        <v>53</v>
      </c>
      <c r="B45">
        <v>1</v>
      </c>
      <c r="C45">
        <v>20</v>
      </c>
      <c r="D45">
        <f t="shared" si="0"/>
        <v>20</v>
      </c>
    </row>
    <row r="46" spans="1:4" x14ac:dyDescent="0.25">
      <c r="A46" t="s">
        <v>54</v>
      </c>
      <c r="B46">
        <v>1</v>
      </c>
      <c r="C46">
        <v>20</v>
      </c>
      <c r="D46">
        <f t="shared" si="0"/>
        <v>20</v>
      </c>
    </row>
    <row r="47" spans="1:4" x14ac:dyDescent="0.25">
      <c r="A47" t="s">
        <v>55</v>
      </c>
      <c r="B47">
        <v>4</v>
      </c>
      <c r="C47">
        <v>2</v>
      </c>
      <c r="D47">
        <f t="shared" si="0"/>
        <v>8</v>
      </c>
    </row>
    <row r="48" spans="1:4" x14ac:dyDescent="0.25">
      <c r="A48" t="s">
        <v>56</v>
      </c>
      <c r="B48">
        <v>1</v>
      </c>
      <c r="C48">
        <v>15</v>
      </c>
      <c r="D48">
        <f t="shared" si="0"/>
        <v>15</v>
      </c>
    </row>
    <row r="49" spans="1:4" x14ac:dyDescent="0.25">
      <c r="A49" s="2" t="s">
        <v>60</v>
      </c>
      <c r="B49" s="2">
        <v>1</v>
      </c>
      <c r="C49" s="2">
        <v>214</v>
      </c>
      <c r="D49" s="2">
        <f t="shared" si="0"/>
        <v>214</v>
      </c>
    </row>
    <row r="50" spans="1:4" x14ac:dyDescent="0.25">
      <c r="A50" t="s">
        <v>57</v>
      </c>
      <c r="B50">
        <v>1</v>
      </c>
      <c r="C50">
        <v>15</v>
      </c>
      <c r="D50">
        <f t="shared" si="0"/>
        <v>15</v>
      </c>
    </row>
    <row r="51" spans="1:4" x14ac:dyDescent="0.25">
      <c r="D51">
        <f t="shared" si="0"/>
        <v>0</v>
      </c>
    </row>
    <row r="52" spans="1:4" x14ac:dyDescent="0.25">
      <c r="D52">
        <f t="shared" si="0"/>
        <v>0</v>
      </c>
    </row>
    <row r="53" spans="1:4" x14ac:dyDescent="0.25">
      <c r="D53">
        <f t="shared" si="0"/>
        <v>0</v>
      </c>
    </row>
    <row r="54" spans="1:4" x14ac:dyDescent="0.25">
      <c r="D54">
        <f t="shared" si="0"/>
        <v>0</v>
      </c>
    </row>
  </sheetData>
  <autoFilter ref="A1:M54" xr:uid="{A0BF4F42-C390-4979-BDA0-BF885777074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resendiz  espinoza</dc:creator>
  <cp:lastModifiedBy>oscar resendiz  espinoza</cp:lastModifiedBy>
  <dcterms:created xsi:type="dcterms:W3CDTF">2025-03-15T05:45:14Z</dcterms:created>
  <dcterms:modified xsi:type="dcterms:W3CDTF">2025-03-19T01:34:56Z</dcterms:modified>
</cp:coreProperties>
</file>